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df9255082a94/Área de Trabalho/curso excel/"/>
    </mc:Choice>
  </mc:AlternateContent>
  <xr:revisionPtr revIDLastSave="10" documentId="8_{DB1B6A98-BB01-4E9A-8642-85F8CFC5ECD1}" xr6:coauthVersionLast="47" xr6:coauthVersionMax="47" xr10:uidLastSave="{842EE1BD-8DD8-499D-952F-0FB17F6FCCF4}"/>
  <bookViews>
    <workbookView xWindow="-120" yWindow="-120" windowWidth="20730" windowHeight="11040" activeTab="2" xr2:uid="{6EAA526D-F4D3-4E71-9472-354E7FD77CC3}"/>
  </bookViews>
  <sheets>
    <sheet name="TITULAR" sheetId="5" r:id="rId1"/>
    <sheet name="INFORMES" sheetId="3" r:id="rId2"/>
    <sheet name="NOTAS" sheetId="1" r:id="rId3"/>
    <sheet name="BANCO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<sst xmlns="http://schemas.openxmlformats.org/spreadsheetml/2006/main" count="103" uniqueCount="91">
  <si>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</si>
  <si>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</si>
  <si>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</si>
  <si>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</si>
  <si>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CONJUGE</t>
  </si>
  <si>
    <t>RUA</t>
  </si>
  <si>
    <t>RUA ABREVIADA</t>
  </si>
  <si>
    <t>CEP</t>
  </si>
  <si>
    <t xml:space="preserve">TELEFONE </t>
  </si>
  <si>
    <t xml:space="preserve">CELULAR </t>
  </si>
  <si>
    <t>E-MAIL</t>
  </si>
  <si>
    <t xml:space="preserve">DA ENTREGA ANTERIOR </t>
  </si>
  <si>
    <t>DEPENDENTE CÔNJUGE</t>
  </si>
  <si>
    <t>RESISTENTE DO EXTERIOR</t>
  </si>
  <si>
    <t>Sabrina Carpenter</t>
  </si>
  <si>
    <t>Zara Larsson</t>
  </si>
  <si>
    <t>Rua Limoeiros, Ruan, -N° 128</t>
  </si>
  <si>
    <t>Rua Limoeiros, R. -N° 128</t>
  </si>
  <si>
    <t>sabrina.c@gmail.com</t>
  </si>
  <si>
    <t>NÃO</t>
  </si>
  <si>
    <t>SIM</t>
  </si>
  <si>
    <t>1.DADOS DO TÍTULAR</t>
  </si>
  <si>
    <t>Preencha os dados sas pessoas físicas abaixo</t>
  </si>
  <si>
    <t>2. INFORMAÇÕES DE RENDIMENTOS BANCÁRIOS</t>
  </si>
  <si>
    <t>Preencha com seus dados atuais de cada banco</t>
  </si>
  <si>
    <t>BANCO</t>
  </si>
  <si>
    <t>VALOR ATUAL</t>
  </si>
  <si>
    <t>ANEXO 🖇️</t>
  </si>
  <si>
    <t>banco_X.pdf</t>
  </si>
  <si>
    <t>1°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</si>
  <si>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</si>
  <si>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</si>
  <si>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</si>
  <si>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</si>
  <si>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</si>
  <si>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</si>
  <si>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</si>
  <si>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</si>
  <si>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</si>
  <si>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</si>
  <si>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</si>
  <si>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</si>
  <si>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</si>
  <si>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</si>
  <si>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</si>
  <si>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</si>
  <si>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</si>
  <si>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</si>
  <si>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</si>
  <si>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</si>
  <si>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</si>
  <si>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</si>
  <si>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</si>
  <si>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</si>
  <si>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</si>
  <si>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</si>
  <si>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</si>
  <si>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</si>
  <si>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</si>
  <si>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</si>
  <si>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</si>
  <si>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</si>
  <si>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</si>
  <si>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</si>
  <si>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</si>
  <si>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</si>
  <si>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</si>
  <si>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</si>
  <si>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</si>
  <si>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</si>
  <si>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</si>
  <si>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</si>
  <si>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</si>
  <si>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</si>
  <si>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</si>
  <si>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</si>
  <si>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</si>
  <si>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</si>
  <si>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</si>
  <si>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</si>
  <si>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</si>
  <si>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2° Banco</t>
  </si>
  <si>
    <t>3° Banco</t>
  </si>
  <si>
    <t>TOTAL</t>
  </si>
  <si>
    <t>3. NOTAS BANCÁRIAS OU EXTRATO DE HOLERITES</t>
  </si>
  <si>
    <t>São todos os valores de entradas mês a mês de receita</t>
  </si>
  <si>
    <t>DATA</t>
  </si>
  <si>
    <t xml:space="preserve">CATEGORIA </t>
  </si>
  <si>
    <t>VALOR</t>
  </si>
  <si>
    <t>ENTRADA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</si>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</sst>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000&quot;.&quot;000&quot;.&quot;000&quot;-&quot;00"/>
    <numFmt numFmtId="166" formatCode="00000\-000"/>
    <numFmt numFmtId="167" formatCode="&quot;(&quot;00&quot;)&quot;0000&quot;-&quot;0000"/>
    <numFmt numFmtId="168" formatCode="mm/yyyy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theme="1"/>
      <name val="Segoe IU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1" fillId="0" borderId="1" xfId="1"/>
    <xf numFmtId="0" fontId="3" fillId="5" borderId="0" xfId="0" applyFont="1" applyFill="1"/>
    <xf numFmtId="0" fontId="8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5" fillId="2" borderId="2" xfId="3" applyFill="1" applyBorder="1" applyAlignment="1" applyProtection="1">
      <alignment horizontal="left"/>
      <protection locked="0"/>
    </xf>
    <xf numFmtId="0" fontId="6" fillId="4" borderId="3" xfId="0" applyFont="1" applyFill="1" applyBorder="1" applyAlignment="1">
      <alignment horizontal="left" indent="3"/>
    </xf>
    <xf numFmtId="164" fontId="7" fillId="2" borderId="0" xfId="2" applyNumberFormat="1" applyFont="1" applyAlignment="1">
      <alignment horizontal="center"/>
    </xf>
    <xf numFmtId="0" fontId="8" fillId="6" borderId="0" xfId="0" applyFont="1" applyFill="1" applyAlignment="1">
      <alignment horizontal="center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2" fillId="2" borderId="2" xfId="2" applyNumberFormat="1" applyBorder="1" applyAlignment="1" applyProtection="1">
      <alignment horizontal="left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64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IU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FF"/>
      <color rgb="FF60B5EA"/>
      <color rgb="FFFF99FF"/>
      <color rgb="FFFFCCCC"/>
      <color rgb="FFE999CE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cristina-yuki-a52330233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://www.linkedin.com/in/cristina-yuki-a52330233" TargetMode="External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cristina-yuki-a52330233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834279</xdr:colOff>
      <xdr:row>3</xdr:row>
      <xdr:rowOff>126206</xdr:rowOff>
    </xdr:from>
    <xdr:to>
      <xdr:col>0</xdr:col>
      <xdr:colOff>1796303</xdr:colOff>
      <xdr:row>8</xdr:row>
      <xdr:rowOff>68495</xdr:rowOff>
    </xdr:to>
    <xdr:pic>
      <xdr:nvPicPr>
        <xdr:cNvPr id="2" name="Imagem 1" descr="Snowflake - Free nature icons">
          <a:extLst>
            <a:ext uri="{FF2B5EF4-FFF2-40B4-BE49-F238E27FC236}">
              <a16:creationId xmlns:a16="http://schemas.microsoft.com/office/drawing/2014/main" id="{E4DD0DD6-96C8-415C-A913-1066CACB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279" y="773906"/>
          <a:ext cx="962024" cy="9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143716</xdr:colOff>
      <xdr:row>0</xdr:row>
      <xdr:rowOff>0</xdr:rowOff>
    </xdr:from>
    <xdr:to>
      <xdr:col>0</xdr:col>
      <xdr:colOff>2486866</xdr:colOff>
      <xdr:row>6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8357FEA-73CA-49FE-9B4F-0A6BACA1F1C5}"/>
            </a:ext>
          </a:extLst>
        </xdr:cNvPr>
        <xdr:cNvSpPr/>
      </xdr:nvSpPr>
      <xdr:spPr>
        <a:xfrm>
          <a:off x="143716" y="0"/>
          <a:ext cx="2343150" cy="1266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SNOW</a:t>
          </a:r>
          <a:r>
            <a:rPr lang="pt-BR" sz="2000" baseline="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 </a:t>
          </a:r>
          <a:r>
            <a:rPr lang="pt-BR" sz="2000" baseline="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258016</xdr:colOff>
      <xdr:row>9</xdr:row>
      <xdr:rowOff>138112</xdr:rowOff>
    </xdr:from>
    <xdr:to>
      <xdr:col>0</xdr:col>
      <xdr:colOff>2372566</xdr:colOff>
      <xdr:row>11</xdr:row>
      <xdr:rowOff>166687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B3C08F-5A2F-4F66-B8A2-C4C1902B07A3}"/>
            </a:ext>
          </a:extLst>
        </xdr:cNvPr>
        <xdr:cNvSpPr/>
      </xdr:nvSpPr>
      <xdr:spPr>
        <a:xfrm>
          <a:off x="258016" y="1852612"/>
          <a:ext cx="2114550" cy="409575"/>
        </a:xfrm>
        <a:prstGeom prst="roundRect">
          <a:avLst>
            <a:gd name="adj" fmla="val 50000"/>
          </a:avLst>
        </a:prstGeom>
        <a:gradFill flip="none" rotWithShape="1">
          <a:gsLst>
            <a:gs pos="48000">
              <a:srgbClr val="C6B9DF"/>
            </a:gs>
            <a:gs pos="97000">
              <a:srgbClr val="E999CE"/>
            </a:gs>
            <a:gs pos="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</a:rPr>
            <a:t>TITULAR</a:t>
          </a:r>
          <a:r>
            <a:rPr lang="pt-BR" sz="1600" baseline="0">
              <a:solidFill>
                <a:schemeClr val="lt1"/>
              </a:solidFill>
            </a:rPr>
            <a:t>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258016</xdr:colOff>
      <xdr:row>15</xdr:row>
      <xdr:rowOff>76200</xdr:rowOff>
    </xdr:from>
    <xdr:to>
      <xdr:col>0</xdr:col>
      <xdr:colOff>2372566</xdr:colOff>
      <xdr:row>17</xdr:row>
      <xdr:rowOff>104775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B03789-3500-4689-8520-41A1432ABD1E}"/>
            </a:ext>
          </a:extLst>
        </xdr:cNvPr>
        <xdr:cNvSpPr/>
      </xdr:nvSpPr>
      <xdr:spPr>
        <a:xfrm>
          <a:off x="258016" y="2933700"/>
          <a:ext cx="21145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</a:rPr>
            <a:t>NOTAS</a:t>
          </a:r>
          <a:r>
            <a:rPr lang="pt-BR" sz="1600" baseline="0">
              <a:solidFill>
                <a:schemeClr val="lt1"/>
              </a:solidFill>
            </a:rPr>
            <a:t>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258016</xdr:colOff>
      <xdr:row>12</xdr:row>
      <xdr:rowOff>92868</xdr:rowOff>
    </xdr:from>
    <xdr:to>
      <xdr:col>0</xdr:col>
      <xdr:colOff>2372566</xdr:colOff>
      <xdr:row>14</xdr:row>
      <xdr:rowOff>121443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9364F0-28B1-413A-8D5C-945C483B9CEB}"/>
            </a:ext>
          </a:extLst>
        </xdr:cNvPr>
        <xdr:cNvSpPr/>
      </xdr:nvSpPr>
      <xdr:spPr>
        <a:xfrm>
          <a:off x="258016" y="2378868"/>
          <a:ext cx="21145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solidFill>
                <a:schemeClr val="lt1"/>
              </a:solidFill>
            </a:rPr>
            <a:t>INFORMES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435210</xdr:colOff>
      <xdr:row>19</xdr:row>
      <xdr:rowOff>123825</xdr:rowOff>
    </xdr:from>
    <xdr:to>
      <xdr:col>0</xdr:col>
      <xdr:colOff>2195373</xdr:colOff>
      <xdr:row>21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4CD3057-B438-4ED8-9FEF-4A8291F7E786}"/>
            </a:ext>
          </a:extLst>
        </xdr:cNvPr>
        <xdr:cNvSpPr/>
      </xdr:nvSpPr>
      <xdr:spPr>
        <a:xfrm>
          <a:off x="435210" y="3743325"/>
          <a:ext cx="1760163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CRISTINA</a:t>
          </a:r>
          <a:r>
            <a:rPr lang="pt-BR" sz="1100" baseline="0"/>
            <a:t> YUKI</a:t>
          </a:r>
          <a:endParaRPr lang="pt-BR" sz="1100"/>
        </a:p>
      </xdr:txBody>
    </xdr:sp>
    <xdr:clientData/>
  </xdr:twoCellAnchor>
  <xdr:twoCellAnchor>
    <xdr:from>
      <xdr:col>0</xdr:col>
      <xdr:colOff>472329</xdr:colOff>
      <xdr:row>19</xdr:row>
      <xdr:rowOff>0</xdr:rowOff>
    </xdr:from>
    <xdr:to>
      <xdr:col>0</xdr:col>
      <xdr:colOff>2158254</xdr:colOff>
      <xdr:row>19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CDD866A-9E7D-421D-9D0B-67DFBBB553ED}"/>
            </a:ext>
          </a:extLst>
        </xdr:cNvPr>
        <xdr:cNvCxnSpPr/>
      </xdr:nvCxnSpPr>
      <xdr:spPr>
        <a:xfrm>
          <a:off x="472329" y="3619500"/>
          <a:ext cx="1685925" cy="0"/>
        </a:xfrm>
        <a:prstGeom prst="line">
          <a:avLst/>
        </a:prstGeom>
        <a:ln w="9525">
          <a:solidFill>
            <a:srgbClr val="E999C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1051953</xdr:colOff>
      <xdr:row>20</xdr:row>
      <xdr:rowOff>155221</xdr:rowOff>
    </xdr:from>
    <xdr:to>
      <xdr:col>0</xdr:col>
      <xdr:colOff>1578629</xdr:colOff>
      <xdr:row>23</xdr:row>
      <xdr:rowOff>114299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C718B5-5719-4165-AE4E-69805846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953" y="3965221"/>
          <a:ext cx="526676" cy="530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499224</xdr:colOff>
      <xdr:row>20</xdr:row>
      <xdr:rowOff>25213</xdr:rowOff>
    </xdr:from>
    <xdr:to>
      <xdr:col>4</xdr:col>
      <xdr:colOff>11206</xdr:colOff>
      <xdr:row>21</xdr:row>
      <xdr:rowOff>187138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39B80D-AD02-DD8A-459F-A782615A56AF}"/>
            </a:ext>
          </a:extLst>
        </xdr:cNvPr>
        <xdr:cNvSpPr/>
      </xdr:nvSpPr>
      <xdr:spPr>
        <a:xfrm>
          <a:off x="5889253" y="4227419"/>
          <a:ext cx="2145365" cy="352425"/>
        </a:xfrm>
        <a:prstGeom prst="rect">
          <a:avLst/>
        </a:prstGeom>
        <a:solidFill>
          <a:srgbClr val="60B5E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834279</xdr:colOff>
      <xdr:row>3</xdr:row>
      <xdr:rowOff>123965</xdr:rowOff>
    </xdr:from>
    <xdr:to>
      <xdr:col>0</xdr:col>
      <xdr:colOff>1796303</xdr:colOff>
      <xdr:row>8</xdr:row>
      <xdr:rowOff>133489</xdr:rowOff>
    </xdr:to>
    <xdr:pic>
      <xdr:nvPicPr>
        <xdr:cNvPr id="2" name="Imagem 1" descr="Snowflake - Free nature icons">
          <a:extLst>
            <a:ext uri="{FF2B5EF4-FFF2-40B4-BE49-F238E27FC236}">
              <a16:creationId xmlns:a16="http://schemas.microsoft.com/office/drawing/2014/main" id="{087212F6-E261-4B7D-86AE-51CEE0E7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279" y="773906"/>
          <a:ext cx="962024" cy="9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143716</xdr:colOff>
      <xdr:row>0</xdr:row>
      <xdr:rowOff>0</xdr:rowOff>
    </xdr:from>
    <xdr:to>
      <xdr:col>0</xdr:col>
      <xdr:colOff>2486866</xdr:colOff>
      <xdr:row>6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BE4B7CB-C522-4F9D-B434-124D889D72EA}"/>
            </a:ext>
          </a:extLst>
        </xdr:cNvPr>
        <xdr:cNvSpPr/>
      </xdr:nvSpPr>
      <xdr:spPr>
        <a:xfrm>
          <a:off x="143716" y="0"/>
          <a:ext cx="2343150" cy="1266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SNOW</a:t>
          </a:r>
          <a:r>
            <a:rPr lang="pt-BR" sz="2000" baseline="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 </a:t>
          </a:r>
          <a:r>
            <a:rPr lang="pt-BR" sz="2000" baseline="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258016</xdr:colOff>
      <xdr:row>9</xdr:row>
      <xdr:rowOff>138112</xdr:rowOff>
    </xdr:from>
    <xdr:to>
      <xdr:col>0</xdr:col>
      <xdr:colOff>2372566</xdr:colOff>
      <xdr:row>11</xdr:row>
      <xdr:rowOff>166687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22567F-48AA-439E-B9A6-114E903E2C1E}"/>
            </a:ext>
          </a:extLst>
        </xdr:cNvPr>
        <xdr:cNvSpPr/>
      </xdr:nvSpPr>
      <xdr:spPr>
        <a:xfrm>
          <a:off x="258016" y="1852612"/>
          <a:ext cx="21145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</a:rPr>
            <a:t>TITULAR</a:t>
          </a:r>
          <a:r>
            <a:rPr lang="pt-BR" sz="1600" baseline="0">
              <a:solidFill>
                <a:schemeClr val="lt1"/>
              </a:solidFill>
            </a:rPr>
            <a:t>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258016</xdr:colOff>
      <xdr:row>15</xdr:row>
      <xdr:rowOff>76200</xdr:rowOff>
    </xdr:from>
    <xdr:to>
      <xdr:col>0</xdr:col>
      <xdr:colOff>2372566</xdr:colOff>
      <xdr:row>17</xdr:row>
      <xdr:rowOff>104775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4FBF27-B6D8-4274-A086-ECB7A29AFD6D}"/>
            </a:ext>
          </a:extLst>
        </xdr:cNvPr>
        <xdr:cNvSpPr/>
      </xdr:nvSpPr>
      <xdr:spPr>
        <a:xfrm>
          <a:off x="258016" y="2933700"/>
          <a:ext cx="21145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</a:rPr>
            <a:t>NOTAS</a:t>
          </a:r>
          <a:r>
            <a:rPr lang="pt-BR" sz="1600" baseline="0">
              <a:solidFill>
                <a:schemeClr val="lt1"/>
              </a:solidFill>
            </a:rPr>
            <a:t>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258016</xdr:colOff>
      <xdr:row>12</xdr:row>
      <xdr:rowOff>92868</xdr:rowOff>
    </xdr:from>
    <xdr:to>
      <xdr:col>0</xdr:col>
      <xdr:colOff>2372566</xdr:colOff>
      <xdr:row>14</xdr:row>
      <xdr:rowOff>121443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4D8244-996A-4DA5-B86E-8FCEE16DAC0F}"/>
            </a:ext>
          </a:extLst>
        </xdr:cNvPr>
        <xdr:cNvSpPr/>
      </xdr:nvSpPr>
      <xdr:spPr>
        <a:xfrm>
          <a:off x="258016" y="2378868"/>
          <a:ext cx="2114550" cy="409575"/>
        </a:xfrm>
        <a:prstGeom prst="roundRect">
          <a:avLst>
            <a:gd name="adj" fmla="val 50000"/>
          </a:avLst>
        </a:prstGeom>
        <a:gradFill flip="none" rotWithShape="1">
          <a:gsLst>
            <a:gs pos="48000">
              <a:srgbClr val="C6B9DF"/>
            </a:gs>
            <a:gs pos="97000">
              <a:srgbClr val="E999CE"/>
            </a:gs>
            <a:gs pos="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solidFill>
                <a:schemeClr val="lt1"/>
              </a:solidFill>
            </a:rPr>
            <a:t>INFORMES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425685</xdr:colOff>
      <xdr:row>20</xdr:row>
      <xdr:rowOff>38100</xdr:rowOff>
    </xdr:from>
    <xdr:to>
      <xdr:col>0</xdr:col>
      <xdr:colOff>2185848</xdr:colOff>
      <xdr:row>21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E774AB4-19AC-4814-8440-8E94B5132EB3}"/>
            </a:ext>
          </a:extLst>
        </xdr:cNvPr>
        <xdr:cNvSpPr/>
      </xdr:nvSpPr>
      <xdr:spPr>
        <a:xfrm>
          <a:off x="425685" y="4076700"/>
          <a:ext cx="1760163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CRISTINA</a:t>
          </a:r>
          <a:r>
            <a:rPr lang="pt-BR" sz="1100" baseline="0"/>
            <a:t> YUKI</a:t>
          </a:r>
          <a:endParaRPr lang="pt-BR" sz="1100"/>
        </a:p>
      </xdr:txBody>
    </xdr:sp>
    <xdr:clientData/>
  </xdr:twoCellAnchor>
  <xdr:twoCellAnchor>
    <xdr:from>
      <xdr:col>0</xdr:col>
      <xdr:colOff>462804</xdr:colOff>
      <xdr:row>19</xdr:row>
      <xdr:rowOff>123825</xdr:rowOff>
    </xdr:from>
    <xdr:to>
      <xdr:col>0</xdr:col>
      <xdr:colOff>2148729</xdr:colOff>
      <xdr:row>19</xdr:row>
      <xdr:rowOff>123825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DD5D077-ED65-4254-BC91-4C0CDAA5CF08}"/>
            </a:ext>
          </a:extLst>
        </xdr:cNvPr>
        <xdr:cNvCxnSpPr/>
      </xdr:nvCxnSpPr>
      <xdr:spPr>
        <a:xfrm>
          <a:off x="462804" y="3952875"/>
          <a:ext cx="1685925" cy="0"/>
        </a:xfrm>
        <a:prstGeom prst="line">
          <a:avLst/>
        </a:prstGeom>
        <a:ln w="9525">
          <a:solidFill>
            <a:srgbClr val="E999C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1042428</xdr:colOff>
      <xdr:row>21</xdr:row>
      <xdr:rowOff>69496</xdr:rowOff>
    </xdr:from>
    <xdr:to>
      <xdr:col>0</xdr:col>
      <xdr:colOff>1569104</xdr:colOff>
      <xdr:row>24</xdr:row>
      <xdr:rowOff>25212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6C779E-3CB6-4521-8909-B373DD96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428" y="4317646"/>
          <a:ext cx="526676" cy="527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504265</xdr:colOff>
      <xdr:row>22</xdr:row>
      <xdr:rowOff>0</xdr:rowOff>
    </xdr:from>
    <xdr:to>
      <xdr:col>4</xdr:col>
      <xdr:colOff>16247</xdr:colOff>
      <xdr:row>23</xdr:row>
      <xdr:rowOff>161925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DE10A9-7986-4F74-9DA4-8EBD58E4AE89}"/>
            </a:ext>
          </a:extLst>
        </xdr:cNvPr>
        <xdr:cNvSpPr/>
      </xdr:nvSpPr>
      <xdr:spPr>
        <a:xfrm>
          <a:off x="5894294" y="4471147"/>
          <a:ext cx="2145365" cy="352425"/>
        </a:xfrm>
        <a:prstGeom prst="rect">
          <a:avLst/>
        </a:prstGeom>
        <a:solidFill>
          <a:srgbClr val="60B5E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  <xdr:twoCellAnchor>
    <xdr:from>
      <xdr:col>2</xdr:col>
      <xdr:colOff>11206</xdr:colOff>
      <xdr:row>22</xdr:row>
      <xdr:rowOff>11207</xdr:rowOff>
    </xdr:from>
    <xdr:to>
      <xdr:col>2</xdr:col>
      <xdr:colOff>2156571</xdr:colOff>
      <xdr:row>23</xdr:row>
      <xdr:rowOff>173132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845CD9-A4E2-404F-81EC-7F4450B7ED44}"/>
            </a:ext>
          </a:extLst>
        </xdr:cNvPr>
        <xdr:cNvSpPr/>
      </xdr:nvSpPr>
      <xdr:spPr>
        <a:xfrm>
          <a:off x="3204882" y="4482354"/>
          <a:ext cx="2145365" cy="352425"/>
        </a:xfrm>
        <a:prstGeom prst="rect">
          <a:avLst/>
        </a:prstGeom>
        <a:solidFill>
          <a:srgbClr val="60B5E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834279</xdr:colOff>
      <xdr:row>3</xdr:row>
      <xdr:rowOff>126206</xdr:rowOff>
    </xdr:from>
    <xdr:to>
      <xdr:col>0</xdr:col>
      <xdr:colOff>1796303</xdr:colOff>
      <xdr:row>8</xdr:row>
      <xdr:rowOff>135730</xdr:rowOff>
    </xdr:to>
    <xdr:pic>
      <xdr:nvPicPr>
        <xdr:cNvPr id="2" name="Imagem 1" descr="Snowflake - Free nature icons">
          <a:extLst>
            <a:ext uri="{FF2B5EF4-FFF2-40B4-BE49-F238E27FC236}">
              <a16:creationId xmlns:a16="http://schemas.microsoft.com/office/drawing/2014/main" id="{3C7AA136-9C00-768C-F608-7E5B27E7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279" y="773906"/>
          <a:ext cx="962024" cy="9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143716</xdr:colOff>
      <xdr:row>0</xdr:row>
      <xdr:rowOff>0</xdr:rowOff>
    </xdr:from>
    <xdr:to>
      <xdr:col>0</xdr:col>
      <xdr:colOff>2486866</xdr:colOff>
      <xdr:row>6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F434BE-1FDF-C21B-83FE-9429F6FD9571}"/>
            </a:ext>
          </a:extLst>
        </xdr:cNvPr>
        <xdr:cNvSpPr/>
      </xdr:nvSpPr>
      <xdr:spPr>
        <a:xfrm>
          <a:off x="143716" y="0"/>
          <a:ext cx="2343150" cy="1266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SNOW</a:t>
          </a:r>
          <a:r>
            <a:rPr lang="pt-BR" sz="2000" baseline="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 </a:t>
          </a:r>
          <a:r>
            <a:rPr lang="pt-BR" sz="2000" baseline="0">
              <a:gradFill flip="none" rotWithShape="1">
                <a:gsLst>
                  <a:gs pos="48000">
                    <a:srgbClr val="C6B9DF"/>
                  </a:gs>
                  <a:gs pos="91000">
                    <a:srgbClr val="E999CE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258016</xdr:colOff>
      <xdr:row>9</xdr:row>
      <xdr:rowOff>138112</xdr:rowOff>
    </xdr:from>
    <xdr:to>
      <xdr:col>0</xdr:col>
      <xdr:colOff>2372566</xdr:colOff>
      <xdr:row>11</xdr:row>
      <xdr:rowOff>166687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E3CD7A-A0B2-9C99-696B-7D08D9B27D68}"/>
            </a:ext>
          </a:extLst>
        </xdr:cNvPr>
        <xdr:cNvSpPr/>
      </xdr:nvSpPr>
      <xdr:spPr>
        <a:xfrm>
          <a:off x="258016" y="1852612"/>
          <a:ext cx="21145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</a:rPr>
            <a:t>TITULAR</a:t>
          </a:r>
          <a:r>
            <a:rPr lang="pt-BR" sz="1600" baseline="0">
              <a:solidFill>
                <a:schemeClr val="lt1"/>
              </a:solidFill>
            </a:rPr>
            <a:t>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258016</xdr:colOff>
      <xdr:row>15</xdr:row>
      <xdr:rowOff>76200</xdr:rowOff>
    </xdr:from>
    <xdr:to>
      <xdr:col>0</xdr:col>
      <xdr:colOff>2372566</xdr:colOff>
      <xdr:row>17</xdr:row>
      <xdr:rowOff>104775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4A6FDB-AE56-4F45-95F6-39CD2B87D867}"/>
            </a:ext>
          </a:extLst>
        </xdr:cNvPr>
        <xdr:cNvSpPr/>
      </xdr:nvSpPr>
      <xdr:spPr>
        <a:xfrm>
          <a:off x="258016" y="2933700"/>
          <a:ext cx="2114550" cy="409575"/>
        </a:xfrm>
        <a:prstGeom prst="roundRect">
          <a:avLst>
            <a:gd name="adj" fmla="val 50000"/>
          </a:avLst>
        </a:prstGeom>
        <a:gradFill flip="none" rotWithShape="1">
          <a:gsLst>
            <a:gs pos="48000">
              <a:srgbClr val="C6B9DF"/>
            </a:gs>
            <a:gs pos="97000">
              <a:srgbClr val="E999CE"/>
            </a:gs>
            <a:gs pos="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</a:rPr>
            <a:t>NOTAS</a:t>
          </a:r>
          <a:r>
            <a:rPr lang="pt-BR" sz="1600" baseline="0">
              <a:solidFill>
                <a:schemeClr val="lt1"/>
              </a:solidFill>
            </a:rPr>
            <a:t>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258016</xdr:colOff>
      <xdr:row>12</xdr:row>
      <xdr:rowOff>92868</xdr:rowOff>
    </xdr:from>
    <xdr:to>
      <xdr:col>0</xdr:col>
      <xdr:colOff>2372566</xdr:colOff>
      <xdr:row>14</xdr:row>
      <xdr:rowOff>121443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DB0D7B-9F32-41D5-9FDB-79B974DC7C50}"/>
            </a:ext>
          </a:extLst>
        </xdr:cNvPr>
        <xdr:cNvSpPr/>
      </xdr:nvSpPr>
      <xdr:spPr>
        <a:xfrm>
          <a:off x="258016" y="2378868"/>
          <a:ext cx="21145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solidFill>
                <a:schemeClr val="lt1"/>
              </a:solidFill>
            </a:rPr>
            <a:t>INFORMES </a:t>
          </a:r>
          <a:endParaRPr lang="pt-BR" sz="16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425685</xdr:colOff>
      <xdr:row>21</xdr:row>
      <xdr:rowOff>0</xdr:rowOff>
    </xdr:from>
    <xdr:to>
      <xdr:col>0</xdr:col>
      <xdr:colOff>2185848</xdr:colOff>
      <xdr:row>22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8B5843F-E963-3F62-3584-1E849B28A887}"/>
            </a:ext>
          </a:extLst>
        </xdr:cNvPr>
        <xdr:cNvSpPr/>
      </xdr:nvSpPr>
      <xdr:spPr>
        <a:xfrm>
          <a:off x="425685" y="4076700"/>
          <a:ext cx="1760163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CRISTINA</a:t>
          </a:r>
          <a:r>
            <a:rPr lang="pt-BR" sz="1100" baseline="0"/>
            <a:t> YUKI</a:t>
          </a:r>
          <a:endParaRPr lang="pt-BR" sz="1100"/>
        </a:p>
      </xdr:txBody>
    </xdr:sp>
    <xdr:clientData/>
  </xdr:twoCellAnchor>
  <xdr:twoCellAnchor>
    <xdr:from>
      <xdr:col>0</xdr:col>
      <xdr:colOff>462804</xdr:colOff>
      <xdr:row>20</xdr:row>
      <xdr:rowOff>66675</xdr:rowOff>
    </xdr:from>
    <xdr:to>
      <xdr:col>0</xdr:col>
      <xdr:colOff>2148729</xdr:colOff>
      <xdr:row>20</xdr:row>
      <xdr:rowOff>66675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2110809-D84C-4BE0-C562-BBA2E01A1064}"/>
            </a:ext>
          </a:extLst>
        </xdr:cNvPr>
        <xdr:cNvCxnSpPr/>
      </xdr:nvCxnSpPr>
      <xdr:spPr>
        <a:xfrm>
          <a:off x="462804" y="3952875"/>
          <a:ext cx="1685925" cy="0"/>
        </a:xfrm>
        <a:prstGeom prst="line">
          <a:avLst/>
        </a:prstGeom>
        <a:ln w="9525">
          <a:solidFill>
            <a:srgbClr val="E999C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1042428</xdr:colOff>
      <xdr:row>22</xdr:row>
      <xdr:rowOff>31396</xdr:rowOff>
    </xdr:from>
    <xdr:to>
      <xdr:col>0</xdr:col>
      <xdr:colOff>1569104</xdr:colOff>
      <xdr:row>24</xdr:row>
      <xdr:rowOff>180974</xdr:rowOff>
    </xdr:to>
    <xdr:pic>
      <xdr:nvPicPr>
        <xdr:cNvPr id="12" name="Imagem 11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86ECD9-173D-DC56-D7DB-5AFD1B3FC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428" y="4298596"/>
          <a:ext cx="526676" cy="530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28576</xdr:colOff>
      <xdr:row>3</xdr:row>
      <xdr:rowOff>180976</xdr:rowOff>
    </xdr:from>
    <xdr:to>
      <xdr:col>2</xdr:col>
      <xdr:colOff>1323976</xdr:colOff>
      <xdr:row>5</xdr:row>
      <xdr:rowOff>66676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A9B92D-893B-4786-8753-C8370BE173C9}"/>
            </a:ext>
          </a:extLst>
        </xdr:cNvPr>
        <xdr:cNvSpPr/>
      </xdr:nvSpPr>
      <xdr:spPr>
        <a:xfrm>
          <a:off x="3228976" y="828676"/>
          <a:ext cx="1295400" cy="266700"/>
        </a:xfrm>
        <a:prstGeom prst="rect">
          <a:avLst/>
        </a:prstGeom>
        <a:solidFill>
          <a:srgbClr val="60B5E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04CEF-68EE-4AC7-ABA7-D300B0786865}" name="Tabela1" displayName="Tabela1" ref="C8:E23" totalsRowShown="0" headerRowDxfId="4" dataDxfId="0">
  <autoFilter ref="C8:E23" xr:uid="{71C04CEF-68EE-4AC7-ABA7-D300B0786865}"/>
  <tableColumns count="3">
    <tableColumn id="1" xr3:uid="{27F9BDCB-2FFB-4999-A0AE-A5094C192D82}" name="DATA" dataDxfId="3"/>
    <tableColumn id="2" xr3:uid="{716AAF5F-FE01-428F-BA13-00784A121A01}" name="CATEGORIA " dataDxfId="2"/>
    <tableColumn id="3" xr3:uid="{A17BB082-2312-46AF-9619-B714406820D9}" name="VALO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brina.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6988-6372-425D-B142-5CEAC5457046}">
  <dimension ref="A2:E19"/>
  <sheetViews>
    <sheetView showGridLines="0" showRowColHeaders="0" zoomScaleNormal="100" workbookViewId="0">
      <selection activeCell="D6" sqref="D6"/>
    </sheetView>
  </sheetViews>
  <sheetFormatPr defaultRowHeight="15"/>
  <cols>
    <col min="1" max="1" width="38.85546875" style="1" customWidth="1"/>
    <col min="3" max="3" width="32.85546875" customWidth="1"/>
    <col min="4" max="4" width="39.42578125" customWidth="1"/>
  </cols>
  <sheetData>
    <row r="2" spans="3:5" ht="20.25" thickBot="1">
      <c r="C2" s="3" t="s">
        <v>21</v>
      </c>
      <c r="D2" s="3"/>
      <c r="E2" s="3"/>
    </row>
    <row r="3" spans="3:5" ht="15.75" thickTop="1">
      <c r="C3" s="12" t="s">
        <v>22</v>
      </c>
      <c r="D3" s="12"/>
      <c r="E3" s="12"/>
    </row>
    <row r="6" spans="3:5" ht="16.5">
      <c r="C6" s="2" t="s">
        <v>0</v>
      </c>
      <c r="D6" s="6" t="s">
        <v>14</v>
      </c>
    </row>
    <row r="7" spans="3:5" ht="16.5">
      <c r="C7" s="2" t="s">
        <v>1</v>
      </c>
      <c r="D7" s="7">
        <v>12312312312</v>
      </c>
    </row>
    <row r="8" spans="3:5" ht="16.5">
      <c r="C8" s="2" t="s">
        <v>2</v>
      </c>
      <c r="D8" s="8">
        <v>37909</v>
      </c>
    </row>
    <row r="9" spans="3:5" ht="16.5">
      <c r="C9" s="2" t="s">
        <v>3</v>
      </c>
      <c r="D9" s="6">
        <v>253468025</v>
      </c>
    </row>
    <row r="10" spans="3:5" ht="16.5">
      <c r="C10" s="2" t="s">
        <v>4</v>
      </c>
      <c r="D10" s="6" t="s">
        <v>15</v>
      </c>
    </row>
    <row r="11" spans="3:5" ht="16.5">
      <c r="C11" s="2" t="s">
        <v>5</v>
      </c>
      <c r="D11" s="6" t="s">
        <v>16</v>
      </c>
    </row>
    <row r="12" spans="3:5" ht="16.5">
      <c r="C12" s="2" t="s">
        <v>6</v>
      </c>
      <c r="D12" s="6" t="s">
        <v>17</v>
      </c>
    </row>
    <row r="13" spans="3:5" ht="16.5">
      <c r="C13" s="2" t="s">
        <v>7</v>
      </c>
      <c r="D13" s="9">
        <v>7158256</v>
      </c>
    </row>
    <row r="14" spans="3:5" ht="16.5">
      <c r="C14" s="2" t="s">
        <v>8</v>
      </c>
      <c r="D14" s="10">
        <v>1241862178</v>
      </c>
    </row>
    <row r="15" spans="3:5" ht="16.5">
      <c r="C15" s="2" t="s">
        <v>9</v>
      </c>
      <c r="D15" s="10">
        <v>1958835388</v>
      </c>
    </row>
    <row r="16" spans="3:5" ht="16.5">
      <c r="C16" s="2" t="s">
        <v>10</v>
      </c>
      <c r="D16" s="11" t="s">
        <v>18</v>
      </c>
    </row>
    <row r="17" spans="3:4" ht="16.5">
      <c r="C17" s="2" t="s">
        <v>11</v>
      </c>
      <c r="D17" s="6" t="s">
        <v>20</v>
      </c>
    </row>
    <row r="18" spans="3:4" ht="16.5">
      <c r="C18" s="2" t="s">
        <v>12</v>
      </c>
      <c r="D18" s="6" t="s">
        <v>19</v>
      </c>
    </row>
    <row r="19" spans="3:4" ht="16.5">
      <c r="C19" s="2" t="s">
        <v>13</v>
      </c>
      <c r="D19" s="6" t="s">
        <v>19</v>
      </c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7:D19" xr:uid="{777DAEF5-2A38-41B8-8312-6291D32E1001}">
      <formula1>"SIM,NÃO"</formula1>
    </dataValidation>
  </dataValidations>
  <hyperlinks>
    <hyperlink ref="D16" r:id="rId1" xr:uid="{CC556250-52E3-4A3F-8472-9AD8F6DB725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4240-7368-48DA-BD8D-6EBFE0FB99AE}">
  <dimension ref="A2:E21"/>
  <sheetViews>
    <sheetView showGridLines="0" showRowColHeaders="0" zoomScaleNormal="100" workbookViewId="0">
      <selection activeCell="D9" sqref="D9"/>
    </sheetView>
  </sheetViews>
  <sheetFormatPr defaultRowHeight="15"/>
  <cols>
    <col min="1" max="1" width="38.85546875" style="1" customWidth="1"/>
    <col min="3" max="3" width="32.85546875" customWidth="1"/>
    <col min="4" max="4" width="39.42578125" customWidth="1"/>
  </cols>
  <sheetData>
    <row r="2" spans="3:5" ht="20.25" thickBot="1">
      <c r="C2" s="3" t="s">
        <v>23</v>
      </c>
      <c r="D2" s="3"/>
      <c r="E2" s="3"/>
    </row>
    <row r="3" spans="3:5" ht="15.75" thickTop="1">
      <c r="C3" s="12" t="s">
        <v>24</v>
      </c>
      <c r="D3" s="12"/>
      <c r="E3" s="12"/>
    </row>
    <row r="5" spans="3:5">
      <c r="C5" t="s">
        <v>83</v>
      </c>
    </row>
    <row r="6" spans="3:5">
      <c r="C6" s="13">
        <f>SUM(D10,D15,D20)</f>
        <v>1502109111.51</v>
      </c>
      <c r="D6" s="13"/>
    </row>
    <row r="8" spans="3:5">
      <c r="C8" t="s">
        <v>29</v>
      </c>
    </row>
    <row r="9" spans="3:5" ht="16.5">
      <c r="C9" s="2" t="s">
        <v>25</v>
      </c>
      <c r="D9" s="6" t="s">
        <v>70</v>
      </c>
    </row>
    <row r="10" spans="3:5" ht="16.5">
      <c r="C10" s="2" t="s">
        <v>26</v>
      </c>
      <c r="D10" s="18">
        <v>500000000</v>
      </c>
    </row>
    <row r="11" spans="3:5" ht="16.5">
      <c r="C11" s="2" t="s">
        <v>27</v>
      </c>
      <c r="D11" s="6" t="s">
        <v>28</v>
      </c>
    </row>
    <row r="13" spans="3:5">
      <c r="C13" t="s">
        <v>81</v>
      </c>
    </row>
    <row r="14" spans="3:5" ht="16.5">
      <c r="C14" s="2" t="s">
        <v>25</v>
      </c>
      <c r="D14" s="6" t="s">
        <v>35</v>
      </c>
    </row>
    <row r="15" spans="3:5" ht="16.5">
      <c r="C15" s="2" t="s">
        <v>26</v>
      </c>
      <c r="D15" s="18">
        <v>1000005545</v>
      </c>
    </row>
    <row r="16" spans="3:5" ht="16.5">
      <c r="C16" s="2" t="s">
        <v>27</v>
      </c>
      <c r="D16" s="6" t="s">
        <v>28</v>
      </c>
    </row>
    <row r="18" spans="3:4">
      <c r="C18" t="s">
        <v>82</v>
      </c>
    </row>
    <row r="19" spans="3:4" ht="16.5">
      <c r="C19" s="2" t="s">
        <v>25</v>
      </c>
      <c r="D19" s="6" t="s">
        <v>62</v>
      </c>
    </row>
    <row r="20" spans="3:4" ht="16.5">
      <c r="C20" s="2" t="s">
        <v>26</v>
      </c>
      <c r="D20" s="18">
        <v>2103566.5099999998</v>
      </c>
    </row>
    <row r="21" spans="3:4" ht="16.5">
      <c r="C21" s="2" t="s">
        <v>27</v>
      </c>
      <c r="D21" s="6" t="s">
        <v>28</v>
      </c>
    </row>
  </sheetData>
  <sheetProtection sheet="1" objects="1" scenarios="1" selectLockedCells="1"/>
  <mergeCells count="2"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EDB9C77D-C255-4D88-9C0E-E55DE28D8CBA}">
          <x14:formula1>
            <xm:f>BANCOS!$A$2:$A$51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CB0F-D419-4296-A0B3-299DE8E12959}">
  <dimension ref="A2:E23"/>
  <sheetViews>
    <sheetView showGridLines="0" showRowColHeaders="0" tabSelected="1" zoomScaleNormal="100" workbookViewId="0">
      <selection activeCell="D13" sqref="D13"/>
    </sheetView>
  </sheetViews>
  <sheetFormatPr defaultRowHeight="15"/>
  <cols>
    <col min="1" max="1" width="38.85546875" style="1" customWidth="1"/>
    <col min="3" max="3" width="20.42578125" customWidth="1"/>
    <col min="4" max="4" width="26.85546875" customWidth="1"/>
    <col min="5" max="5" width="20" customWidth="1"/>
  </cols>
  <sheetData>
    <row r="2" spans="3:5" ht="20.25" thickBot="1">
      <c r="C2" s="3" t="s">
        <v>84</v>
      </c>
      <c r="D2" s="3"/>
      <c r="E2" s="3"/>
    </row>
    <row r="3" spans="3:5" ht="15.75" thickTop="1">
      <c r="C3" s="12" t="s">
        <v>85</v>
      </c>
      <c r="D3" s="12"/>
      <c r="E3" s="12"/>
    </row>
    <row r="7" spans="3:5">
      <c r="C7" s="14" t="s">
        <v>89</v>
      </c>
      <c r="D7" s="14"/>
      <c r="E7" s="14"/>
    </row>
    <row r="8" spans="3:5">
      <c r="C8" s="5" t="s">
        <v>86</v>
      </c>
      <c r="D8" s="5" t="s">
        <v>87</v>
      </c>
      <c r="E8" s="5" t="s">
        <v>88</v>
      </c>
    </row>
    <row r="9" spans="3:5">
      <c r="C9" s="15">
        <v>45695</v>
      </c>
      <c r="D9" s="16" t="s">
        <v>90</v>
      </c>
      <c r="E9" s="17">
        <v>3000</v>
      </c>
    </row>
    <row r="10" spans="3:5">
      <c r="C10" s="15"/>
      <c r="D10" s="16"/>
      <c r="E10" s="17"/>
    </row>
    <row r="11" spans="3:5">
      <c r="C11" s="15"/>
      <c r="D11" s="16"/>
      <c r="E11" s="17"/>
    </row>
    <row r="12" spans="3:5">
      <c r="C12" s="15"/>
      <c r="D12" s="16"/>
      <c r="E12" s="17"/>
    </row>
    <row r="13" spans="3:5">
      <c r="C13" s="15"/>
      <c r="D13" s="16"/>
      <c r="E13" s="17"/>
    </row>
    <row r="14" spans="3:5">
      <c r="C14" s="15"/>
      <c r="D14" s="16"/>
      <c r="E14" s="17"/>
    </row>
    <row r="15" spans="3:5">
      <c r="C15" s="15"/>
      <c r="D15" s="16"/>
      <c r="E15" s="17"/>
    </row>
    <row r="16" spans="3:5">
      <c r="C16" s="15"/>
      <c r="D16" s="16"/>
      <c r="E16" s="17"/>
    </row>
    <row r="17" spans="3:5">
      <c r="C17" s="15"/>
      <c r="D17" s="16"/>
      <c r="E17" s="17"/>
    </row>
    <row r="18" spans="3:5">
      <c r="C18" s="15"/>
      <c r="D18" s="16"/>
      <c r="E18" s="17"/>
    </row>
    <row r="19" spans="3:5">
      <c r="C19" s="15"/>
      <c r="D19" s="16"/>
      <c r="E19" s="17"/>
    </row>
    <row r="20" spans="3:5">
      <c r="C20" s="15"/>
      <c r="D20" s="16"/>
      <c r="E20" s="17"/>
    </row>
    <row r="21" spans="3:5">
      <c r="C21" s="15"/>
      <c r="D21" s="16"/>
      <c r="E21" s="17"/>
    </row>
    <row r="22" spans="3:5">
      <c r="C22" s="15"/>
      <c r="D22" s="16"/>
      <c r="E22" s="17"/>
    </row>
    <row r="23" spans="3:5">
      <c r="C23" s="15"/>
      <c r="D23" s="16"/>
      <c r="E23" s="17"/>
    </row>
  </sheetData>
  <sheetProtection sheet="1" objects="1" scenarios="1" selectLockedCells="1"/>
  <mergeCells count="2">
    <mergeCell ref="C3:E3"/>
    <mergeCell ref="C7:E7"/>
  </mergeCells>
  <dataValidations count="1">
    <dataValidation type="list" allowBlank="1" showInputMessage="1" showErrorMessage="1" sqref="D9:D23" xr:uid="{A3C8100C-AEAF-4874-93BF-9BCE8C48BDE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6EF3-EB9C-4E07-93B2-EF741474CBFB}">
  <dimension ref="A1:A51"/>
  <sheetViews>
    <sheetView workbookViewId="0">
      <selection activeCell="A11" sqref="A11"/>
    </sheetView>
  </sheetViews>
  <sheetFormatPr defaultRowHeight="15"/>
  <cols>
    <col min="1" max="1" width="39" bestFit="1" customWidth="1"/>
  </cols>
  <sheetData>
    <row r="1" spans="1:1">
      <c r="A1" s="4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  <row r="24" spans="1:1">
      <c r="A24" t="s">
        <v>53</v>
      </c>
    </row>
    <row r="25" spans="1:1">
      <c r="A25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  <row r="31" spans="1:1">
      <c r="A31" t="s">
        <v>60</v>
      </c>
    </row>
    <row r="32" spans="1:1">
      <c r="A32" t="s">
        <v>61</v>
      </c>
    </row>
    <row r="33" spans="1:1">
      <c r="A33" t="s">
        <v>62</v>
      </c>
    </row>
    <row r="34" spans="1:1">
      <c r="A34" t="s">
        <v>63</v>
      </c>
    </row>
    <row r="35" spans="1:1">
      <c r="A35" t="s">
        <v>64</v>
      </c>
    </row>
    <row r="36" spans="1:1">
      <c r="A36" t="s">
        <v>65</v>
      </c>
    </row>
    <row r="37" spans="1:1">
      <c r="A37" t="s">
        <v>66</v>
      </c>
    </row>
    <row r="38" spans="1:1">
      <c r="A38" t="s">
        <v>67</v>
      </c>
    </row>
    <row r="39" spans="1:1">
      <c r="A39" t="s">
        <v>68</v>
      </c>
    </row>
    <row r="40" spans="1:1">
      <c r="A40" t="s">
        <v>69</v>
      </c>
    </row>
    <row r="41" spans="1:1">
      <c r="A41" t="s">
        <v>70</v>
      </c>
    </row>
    <row r="42" spans="1:1">
      <c r="A42" t="s">
        <v>71</v>
      </c>
    </row>
    <row r="43" spans="1:1">
      <c r="A43" t="s">
        <v>72</v>
      </c>
    </row>
    <row r="44" spans="1:1">
      <c r="A44" t="s">
        <v>73</v>
      </c>
    </row>
    <row r="45" spans="1:1">
      <c r="A45" t="s">
        <v>74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78</v>
      </c>
    </row>
    <row r="50" spans="1:1">
      <c r="A50" t="s">
        <v>79</v>
      </c>
    </row>
    <row r="51" spans="1:1">
      <c r="A5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Yuki</dc:creator>
  <cp:lastModifiedBy>Cristina Yuki</cp:lastModifiedBy>
  <dcterms:created xsi:type="dcterms:W3CDTF">2026-02-07T17:06:42Z</dcterms:created>
  <dcterms:modified xsi:type="dcterms:W3CDTF">2026-02-07T20:40:25Z</dcterms:modified>
</cp:coreProperties>
</file>